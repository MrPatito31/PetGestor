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- PetGes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<sst xmlns="http://schemas.openxmlformats.org/spreadsheetml/2006/main" count="11" uniqueCount="11">
  <si>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Control del Sprint 1</t>
  </si>
  <si>
    <t xml:space="preserve">PetGestor (5 días)</t>
  </si>
  <si>
    <t xml:space="preserve">Historias de Usuario o Spike</t>
  </si>
  <si>
    <t xml:space="preserve">horas estimadas</t>
  </si>
  <si>
    <t xml:space="preserve">DIA</t>
  </si>
  <si>
    <t xml:space="preserve">Total</t>
  </si>
  <si>
    <t xml:space="preserve">HU01: Agendar nueva cita de atención</t>
  </si>
  <si>
    <t xml:space="preserve">HU02: Visualizar calendario de citas del día</t>
  </si>
  <si>
    <t xml:space="preserve">HU03: Registrar y listar insumos en inventario</t>
  </si>
  <si>
    <t xml:space="preserve">Reales de producto por realizar</t>
  </si>
  <si>
    <t xml:space="preserve">Estimadas de producto por realizar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</si>
</sst>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BurnDown Trabajo Pendiente -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cap="rnd" w="38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1"/>
                <c:pt idx="0">
                  <c:v>106</c:v>
                </c:pt>
                <c:pt idx="1">
                  <c:v>98</c:v>
                </c:pt>
                <c:pt idx="2">
                  <c:v>92</c:v>
                </c:pt>
                <c:pt idx="3">
                  <c:v>82</c:v>
                </c:pt>
                <c:pt idx="4">
                  <c:v>73</c:v>
                </c:pt>
                <c:pt idx="5">
                  <c:v>65</c:v>
                </c:pt>
                <c:pt idx="6">
                  <c:v>60</c:v>
                </c:pt>
                <c:pt idx="7">
                  <c:v>55</c:v>
                </c:pt>
                <c:pt idx="8">
                  <c:v>52</c:v>
                </c:pt>
                <c:pt idx="9">
                  <c:v>48</c:v>
                </c:pt>
                <c:pt idx="10">
                  <c:v>45</c:v>
                </c:pt>
                <c:pt idx="11">
                  <c:v>45</c:v>
                </c:pt>
                <c:pt idx="12">
                  <c:v>41</c:v>
                </c:pt>
                <c:pt idx="13">
                  <c:v>39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18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cap="rnd" w="38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1"/>
                <c:pt idx="0">
                  <c:v>106</c:v>
                </c:pt>
                <c:pt idx="1">
                  <c:v>100.7</c:v>
                </c:pt>
                <c:pt idx="2">
                  <c:v>95.4</c:v>
                </c:pt>
                <c:pt idx="3">
                  <c:v>90.1</c:v>
                </c:pt>
                <c:pt idx="4">
                  <c:v>84.8</c:v>
                </c:pt>
                <c:pt idx="5">
                  <c:v>79.5</c:v>
                </c:pt>
                <c:pt idx="6">
                  <c:v>74.2</c:v>
                </c:pt>
                <c:pt idx="7">
                  <c:v>68.9</c:v>
                </c:pt>
                <c:pt idx="8">
                  <c:v>63.6</c:v>
                </c:pt>
                <c:pt idx="9">
                  <c:v>58.3</c:v>
                </c:pt>
                <c:pt idx="10">
                  <c:v>53</c:v>
                </c:pt>
                <c:pt idx="11">
                  <c:v>47.7</c:v>
                </c:pt>
                <c:pt idx="12">
                  <c:v>42.4</c:v>
                </c:pt>
                <c:pt idx="13">
                  <c:v>37.1</c:v>
                </c:pt>
                <c:pt idx="14">
                  <c:v>31.8</c:v>
                </c:pt>
                <c:pt idx="15">
                  <c:v>26.5</c:v>
                </c:pt>
                <c:pt idx="16">
                  <c:v>21.2</c:v>
                </c:pt>
                <c:pt idx="17">
                  <c:v>15.9</c:v>
                </c:pt>
                <c:pt idx="18">
                  <c:v>10.6</c:v>
                </c:pt>
                <c:pt idx="19">
                  <c:v>5.30000000000003</c:v>
                </c:pt>
                <c:pt idx="20">
                  <c:v>3.37507799486048E-014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917382"/>
        <c:axId val="7744931"/>
      </c:lineChart>
      <c:catAx>
        <c:axId val="53917382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L"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744931"/>
        <c:crosses val="autoZero"/>
        <c:auto val="1"/>
        <c:lblAlgn val="ctr"/>
        <c:lblOffset val="100"/>
        <c:noMultiLvlLbl val="0"/>
      </c:catAx>
      <c:valAx>
        <c:axId val="774493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L"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391738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132120</xdr:colOff>
      <xdr:row>1</xdr:row>
      <xdr:rowOff>24120</xdr:rowOff>
    </xdr:from>
    <xdr:to>
      <xdr:col>28</xdr:col>
      <xdr:colOff>84240</xdr:colOff>
      <xdr:row>17</xdr:row>
      <xdr:rowOff>66600</xdr:rowOff>
    </xdr:to>
    <xdr:graphicFrame>
      <xdr:nvGraphicFramePr>
        <xdr:cNvPr id="1" name="Chart 1"/>
        <xdr:cNvGraphicFramePr/>
      </xdr:nvGraphicFramePr>
      <xdr:xfrm>
        <a:off x="11205720" y="290880"/>
        <a:ext cx="4190760" cy="352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41.66"/>
    <col collapsed="false" customWidth="true" hidden="false" outlineLevel="0" max="2" min="2" style="0" width="17"/>
    <col collapsed="false" customWidth="true" hidden="false" outlineLevel="0" max="3" min="3" style="0" width="4"/>
    <col collapsed="false" customWidth="true" hidden="false" outlineLevel="0" max="22" min="4" style="0" width="3.43"/>
  </cols>
  <sheetData>
    <row r="1" customFormat="false" ht="21" hidden="false" customHeight="true" outlineLevel="0" collapsed="false">
      <c r="A1" s="1" t="s">
        <v>0</v>
      </c>
      <c r="B1" s="0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5</v>
      </c>
    </row>
    <row r="4" customFormat="false" ht="15" hidden="false" customHeight="false" outlineLevel="0" collapsed="false">
      <c r="A4" s="2"/>
      <c r="B4" s="2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"/>
    </row>
    <row r="5" customFormat="false" ht="16.4" hidden="false" customHeight="false" outlineLevel="0" collapsed="false">
      <c r="A5" s="5" t="s">
        <v>6</v>
      </c>
      <c r="B5" s="6" t="n">
        <v>16</v>
      </c>
      <c r="C5" s="7" t="n">
        <v>8</v>
      </c>
      <c r="D5" s="8" t="n">
        <v>5</v>
      </c>
      <c r="E5" s="8" t="n">
        <v>3</v>
      </c>
      <c r="F5" s="8" t="n">
        <v>0</v>
      </c>
      <c r="G5" s="8" t="n"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4" t="n">
        <f aca="false">SUM(C5:V5)</f>
        <v>16</v>
      </c>
    </row>
    <row r="6" customFormat="false" ht="16.4" hidden="false" customHeight="false" outlineLevel="0" collapsed="false">
      <c r="A6" s="9" t="s">
        <v>7</v>
      </c>
      <c r="B6" s="10" t="n">
        <v>14</v>
      </c>
      <c r="C6" s="11" t="n">
        <v>0</v>
      </c>
      <c r="D6" s="0" t="n">
        <v>4</v>
      </c>
      <c r="E6" s="0" t="n">
        <v>4</v>
      </c>
      <c r="F6" s="0" t="n">
        <v>3</v>
      </c>
      <c r="G6" s="0" t="n">
        <v>3</v>
      </c>
      <c r="W6" s="12" t="n">
        <f aca="false">SUM(C6:V6)</f>
        <v>14</v>
      </c>
    </row>
    <row r="7" customFormat="false" ht="16.4" hidden="false" customHeight="false" outlineLevel="0" collapsed="false">
      <c r="A7" s="13" t="s">
        <v>8</v>
      </c>
      <c r="B7" s="14" t="n">
        <v>10</v>
      </c>
      <c r="C7" s="11" t="n">
        <v>0</v>
      </c>
      <c r="D7" s="0" t="n">
        <v>0</v>
      </c>
      <c r="E7" s="0" t="n">
        <v>2</v>
      </c>
      <c r="F7" s="0" t="n">
        <v>5</v>
      </c>
      <c r="G7" s="0" t="n">
        <v>3</v>
      </c>
      <c r="W7" s="12" t="n">
        <f aca="false">SUM(C7:V7)</f>
        <v>10</v>
      </c>
    </row>
    <row r="8" customFormat="false" ht="15" hidden="false" customHeight="false" outlineLevel="0" collapsed="false">
      <c r="A8" s="9"/>
      <c r="B8" s="10"/>
      <c r="C8" s="11"/>
      <c r="W8" s="12" t="n">
        <f aca="false">SUM(C8:V8)</f>
        <v>0</v>
      </c>
    </row>
    <row r="9" customFormat="false" ht="15" hidden="false" customHeight="false" outlineLevel="0" collapsed="false">
      <c r="A9" s="9"/>
      <c r="B9" s="10"/>
      <c r="C9" s="11"/>
      <c r="W9" s="12" t="n">
        <f aca="false">SUM(C9:V9)</f>
        <v>0</v>
      </c>
    </row>
    <row r="10" customFormat="false" ht="15" hidden="false" customHeight="false" outlineLevel="0" collapsed="false">
      <c r="A10" s="9"/>
      <c r="B10" s="10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 t="n">
        <f aca="false">SUM(C10:V10)</f>
        <v>0</v>
      </c>
    </row>
    <row r="12" customFormat="false" ht="30" hidden="false" customHeight="true" outlineLevel="0" collapsed="false">
      <c r="A12" s="18" t="s">
        <v>9</v>
      </c>
      <c r="B12" s="0" t="n">
        <f aca="false">SUM(B5:B7)</f>
        <v>40</v>
      </c>
      <c r="C12" s="0" t="n">
        <f aca="false">B12-SUM(C5:C7)</f>
        <v>32</v>
      </c>
      <c r="D12" s="0" t="n">
        <f aca="false">C12-SUM(D5:D7)</f>
        <v>23</v>
      </c>
      <c r="E12" s="0" t="n">
        <f aca="false">D12-SUM(E5:E7)</f>
        <v>14</v>
      </c>
      <c r="F12" s="0" t="n">
        <f aca="false">E12-SUM(F5:F7)</f>
        <v>6</v>
      </c>
      <c r="G12" s="0" t="n">
        <f aca="false">F12-SUM(G5:G7)</f>
        <v>0</v>
      </c>
    </row>
    <row r="14" customFormat="false" ht="30" hidden="false" customHeight="true" outlineLevel="0" collapsed="false">
      <c r="A14" s="18" t="s">
        <v>10</v>
      </c>
      <c r="B14" s="0" t="n">
        <f aca="false">SUM(B5:B7)</f>
        <v>40</v>
      </c>
      <c r="C14" s="0" t="e">
        <f aca="false">B14-(SUM(:)/5)</f>
        <v>#VALUE!</v>
      </c>
      <c r="D14" s="0" t="e">
        <f aca="false">C14-(SUM(:)/5)</f>
        <v>#VALUE!</v>
      </c>
      <c r="E14" s="0" t="e">
        <f aca="false">D14-(SUM(:)/5)</f>
        <v>#VALUE!</v>
      </c>
      <c r="F14" s="0" t="e">
        <f aca="false">E14-(SUM(:)/5)</f>
        <v>#VALUE!</v>
      </c>
      <c r="G14" s="0" t="e">
        <f aca="false">F14-(SUM(:)/5)</f>
        <v>#VALUE!</v>
      </c>
    </row>
    <row r="16" customFormat="false" ht="15" hidden="false" customHeight="false" outlineLevel="0" collapsed="false">
      <c r="B16" s="19"/>
    </row>
    <row r="17" customFormat="false" ht="15" hidden="false" customHeight="false" outlineLevel="0" collapsed="false">
      <c r="B17" s="19"/>
      <c r="G17" s="19"/>
    </row>
    <row r="18" customFormat="false" ht="15" hidden="false" customHeight="false" outlineLevel="0" collapsed="false">
      <c r="B18" s="19"/>
      <c r="G18" s="19"/>
    </row>
    <row r="19" customFormat="false" ht="15" hidden="false" customHeight="false" outlineLevel="0" collapsed="false">
      <c r="B19" s="19"/>
      <c r="G19" s="19"/>
    </row>
    <row r="20" customFormat="false" ht="15" hidden="false" customHeight="false" outlineLevel="0" collapsed="false">
      <c r="B20" s="19"/>
      <c r="G20" s="19"/>
    </row>
    <row r="21" customFormat="false" ht="15" hidden="false" customHeight="false" outlineLevel="0" collapsed="false">
      <c r="B21" s="19"/>
      <c r="G21" s="19"/>
    </row>
    <row r="22" customFormat="false" ht="15" hidden="false" customHeight="false" outlineLevel="0" collapsed="false">
      <c r="B22" s="19"/>
      <c r="G22" s="19"/>
    </row>
    <row r="23" customFormat="false" ht="15" hidden="false" customHeight="false" outlineLevel="0" collapsed="false">
      <c r="B23" s="19"/>
    </row>
    <row r="24" customFormat="false" ht="15" hidden="false" customHeight="false" outlineLevel="0" collapsed="false">
      <c r="B24" s="19"/>
    </row>
    <row r="25" customFormat="false" ht="15" hidden="false" customHeight="false" outlineLevel="0" collapsed="false">
      <c r="B25" s="19"/>
    </row>
  </sheetData>
  <mergeCells count="4">
    <mergeCell ref="A3:A4"/>
    <mergeCell ref="B3:B4"/>
    <mergeCell ref="C3:V3"/>
    <mergeCell ref="W3:W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es-CL</dc:language>
  <cp:lastModifiedBy/>
  <dcterms:modified xsi:type="dcterms:W3CDTF">2026-09-25T19:54:00Z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